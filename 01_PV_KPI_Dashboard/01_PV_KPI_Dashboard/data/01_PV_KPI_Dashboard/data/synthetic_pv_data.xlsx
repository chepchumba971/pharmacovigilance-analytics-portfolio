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F7E86F0-82F6-4BE8-A120-9BF56F68FA61}" xr6:coauthVersionLast="47" xr6:coauthVersionMax="47" xr10:uidLastSave="{00000000-0000-0000-0000-000000000000}"/>
  <bookViews>
    <workbookView xWindow="-108" yWindow="-108" windowWidth="23256" windowHeight="12456" firstSheet="1" activeTab="1" xr2:uid="{C8FEA24B-1565-4587-B42C-7A5E21EA2ECB}"/>
  </bookViews>
  <sheets>
    <sheet name="Sheet4" sheetId="4" r:id="rId1"/>
    <sheet name="Dashboard" sheetId="17" r:id="rId2"/>
    <sheet name="Insights" sheetId="16" r:id="rId3"/>
    <sheet name="Sheet5" sheetId="5" r:id="rId4"/>
    <sheet name="Sheet6" sheetId="6" r:id="rId5"/>
    <sheet name="Sheet9" sheetId="9" r:id="rId6"/>
    <sheet name="Sheet10" sheetId="10" r:id="rId7"/>
    <sheet name="Sheet11" sheetId="11" r:id="rId8"/>
    <sheet name="Sheet12" sheetId="12" r:id="rId9"/>
    <sheet name="Sheet13" sheetId="13" r:id="rId10"/>
    <sheet name="Sheet14" sheetId="14" r:id="rId11"/>
    <sheet name="Sheet15" sheetId="15" r:id="rId12"/>
    <sheet name="Sheet1" sheetId="1" r:id="rId13"/>
  </sheets>
  <calcPr calcId="191029"/>
  <pivotCaches>
    <pivotCache cacheId="3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<sst xmlns="http://schemas.openxmlformats.org/spreadsheetml/2006/main" count="193" uniqueCount="61">
  <si>
    <t>Case ID</t>
  </si>
  <si>
    <t>Report date</t>
  </si>
  <si>
    <t>Country</t>
  </si>
  <si>
    <t>Product</t>
  </si>
  <si>
    <t>Seriousness</t>
  </si>
  <si>
    <t>Gender</t>
  </si>
  <si>
    <t>Age group</t>
  </si>
  <si>
    <t>Event</t>
  </si>
  <si>
    <t>Source</t>
  </si>
  <si>
    <t>Outcome</t>
  </si>
  <si>
    <t>Germany</t>
  </si>
  <si>
    <t>DrugA</t>
  </si>
  <si>
    <t>Serious</t>
  </si>
  <si>
    <t>Female</t>
  </si>
  <si>
    <t>45-64</t>
  </si>
  <si>
    <t>Rash</t>
  </si>
  <si>
    <t>Spontaneous</t>
  </si>
  <si>
    <t>Recovered</t>
  </si>
  <si>
    <t>France</t>
  </si>
  <si>
    <t>VaxA</t>
  </si>
  <si>
    <t>Non-Serious</t>
  </si>
  <si>
    <t>Male</t>
  </si>
  <si>
    <t>18-44</t>
  </si>
  <si>
    <t>Headache</t>
  </si>
  <si>
    <t>Literature</t>
  </si>
  <si>
    <t>Recovering</t>
  </si>
  <si>
    <t>Spain</t>
  </si>
  <si>
    <t>DrugB</t>
  </si>
  <si>
    <t>65+</t>
  </si>
  <si>
    <t>Fatigue</t>
  </si>
  <si>
    <t>Clinical Study</t>
  </si>
  <si>
    <t>Italy</t>
  </si>
  <si>
    <t>DrugC</t>
  </si>
  <si>
    <t>Nausea</t>
  </si>
  <si>
    <t>Not Recovered</t>
  </si>
  <si>
    <t>Netherlands</t>
  </si>
  <si>
    <t>VaxB</t>
  </si>
  <si>
    <t>Fever</t>
  </si>
  <si>
    <t>Health Authority</t>
  </si>
  <si>
    <t>Dizziness</t>
  </si>
  <si>
    <t>Belgium</t>
  </si>
  <si>
    <t>DrugD</t>
  </si>
  <si>
    <t>Vomiting</t>
  </si>
  <si>
    <t>Poland</t>
  </si>
  <si>
    <t>Injection Site Pain</t>
  </si>
  <si>
    <t>Pruritus</t>
  </si>
  <si>
    <t>Diarrhea</t>
  </si>
  <si>
    <t>Row Labels</t>
  </si>
  <si>
    <t>Grand Total</t>
  </si>
  <si>
    <t>Count of Case ID</t>
  </si>
  <si>
    <t>Column Labels</t>
  </si>
  <si>
    <t>Cases by Country</t>
  </si>
  <si>
    <t>Germany, France, and Spain contributed the highest number of reports in the sample dataset.</t>
  </si>
  <si>
    <t>Non-serious cases represented the majority of reported adverse events.</t>
  </si>
  <si>
    <t>Reports were distributed across multiple products, with some products showing higher reporting volumes.</t>
  </si>
  <si>
    <t>Most reports resulted in recovered or recovering outcomes.</t>
  </si>
  <si>
    <t>Pharmacovigilance Indicator Dashboard</t>
  </si>
  <si>
    <t>Total cases
10</t>
  </si>
  <si>
    <t>Serious cases
4</t>
  </si>
  <si>
    <t>Products
6</t>
  </si>
  <si>
    <t>Countries
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</si>
</sst>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F0F6FC"/>
      <name val="Segoe UI"/>
      <family val="2"/>
    </font>
    <font>
      <b/>
      <sz val="8"/>
      <color theme="1"/>
      <name val="Segoe UI"/>
      <family val="2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medium">
        <color rgb="FF3D444D"/>
      </left>
      <right/>
      <top style="medium">
        <color rgb="FF3D444D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F0F6FC"/>
        <name val="Segoe UI"/>
        <family val="2"/>
        <scheme val="none"/>
      </font>
      <numFmt numFmtId="19" formatCode="dd/mm/yyyy"/>
      <fill>
        <patternFill patternType="solid">
          <fgColor indexed="64"/>
          <bgColor rgb="FF0D1117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[synthetic_pv_data.xlsx]Sheet5!PivotTable4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Serious</a:t>
            </a:r>
            <a:r>
              <a:rPr lang="en-GB" baseline="0"/>
              <a:t> and non-serious cases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933023591241167"/>
          <c:y val="0.24740075571642084"/>
          <c:w val="0.41320220310250078"/>
          <c:h val="0.68830295773766759"/>
        </c:manualLayout>
      </c:layout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9F-426A-BD0C-D9677427D1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9F-426A-BD0C-D9677427D192}"/>
              </c:ext>
            </c:extLst>
          </c:dPt>
          <c:cat>
            <c:strRef>
              <c:f>Sheet5!$A$4:$A$6</c:f>
              <c:strCache>
                <c:ptCount val="2"/>
                <c:pt idx="0">
                  <c:v>Non-Serious</c:v>
                </c:pt>
                <c:pt idx="1">
                  <c:v>Serious</c:v>
                </c:pt>
              </c:strCache>
            </c:strRef>
          </c:cat>
          <c:val>
            <c:numRef>
              <c:f>Sheet5!$B$4:$B$6</c:f>
              <c:numCache>
                <c:formatCode>General</c:formatCode>
                <c:ptCount val="2"/>
                <c:pt idx="0">
                  <c:v>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9F-426A-BD0C-D9677427D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[synthetic_pv_data.xlsx]Sheet4!PivotTable3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Cases</a:t>
            </a:r>
            <a:r>
              <a:rPr lang="en-GB" baseline="0"/>
              <a:t> by country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Sheet4!$A$4:$A$11</c:f>
              <c:strCache>
                <c:ptCount val="7"/>
                <c:pt idx="0">
                  <c:v>Belgium</c:v>
                </c:pt>
                <c:pt idx="1">
                  <c:v>France</c:v>
                </c:pt>
                <c:pt idx="2">
                  <c:v>Germany</c:v>
                </c:pt>
                <c:pt idx="3">
                  <c:v>Italy</c:v>
                </c:pt>
                <c:pt idx="4">
                  <c:v>Netherlands</c:v>
                </c:pt>
                <c:pt idx="5">
                  <c:v>Poland</c:v>
                </c:pt>
                <c:pt idx="6">
                  <c:v>Spain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B-4932-AF73-5CCB9DB04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4807951"/>
        <c:axId val="1624808431"/>
      </c:barChart>
      <c:catAx>
        <c:axId val="162480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808431"/>
        <c:crosses val="autoZero"/>
        <c:auto val="1"/>
        <c:lblAlgn val="ctr"/>
        <c:lblOffset val="100"/>
        <c:noMultiLvlLbl val="0"/>
      </c:catAx>
      <c:valAx>
        <c:axId val="162480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80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[synthetic_pv_data.xlsx]Sheet6!PivotTable5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Cases</a:t>
            </a:r>
            <a:r>
              <a:rPr lang="en-GB" baseline="0"/>
              <a:t> by product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Sheet6!$A$4:$A$10</c:f>
              <c:strCache>
                <c:ptCount val="6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DrugD</c:v>
                </c:pt>
                <c:pt idx="4">
                  <c:v>VaxA</c:v>
                </c:pt>
                <c:pt idx="5">
                  <c:v>VaxB</c:v>
                </c:pt>
              </c:strCache>
            </c:strRef>
          </c:cat>
          <c:val>
            <c:numRef>
              <c:f>Sheet6!$B$4:$B$10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D-4E8A-8EEC-29A5EF930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243567"/>
        <c:axId val="189244527"/>
      </c:barChart>
      <c:catAx>
        <c:axId val="189243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44527"/>
        <c:crosses val="autoZero"/>
        <c:auto val="1"/>
        <c:lblAlgn val="ctr"/>
        <c:lblOffset val="100"/>
        <c:noMultiLvlLbl val="0"/>
      </c:catAx>
      <c:valAx>
        <c:axId val="189244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43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[synthetic_pv_data.xlsx]Sheet9!PivotTable8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adverse events</a:t>
            </a:r>
            <a:endParaRPr lang="en-US"/>
          </a:p>
        </c:rich>
      </c:tx>
      <c:layout>
        <c:manualLayout>
          <c:xMode val="edge"/>
          <c:yMode val="edge"/>
          <c:x val="0.48364588801399827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Sheet9!$A$4:$A$14</c:f>
              <c:strCache>
                <c:ptCount val="10"/>
                <c:pt idx="0">
                  <c:v>Diarrhea</c:v>
                </c:pt>
                <c:pt idx="1">
                  <c:v>Dizziness</c:v>
                </c:pt>
                <c:pt idx="2">
                  <c:v>Fatigue</c:v>
                </c:pt>
                <c:pt idx="3">
                  <c:v>Fever</c:v>
                </c:pt>
                <c:pt idx="4">
                  <c:v>Headache</c:v>
                </c:pt>
                <c:pt idx="5">
                  <c:v>Injection Site Pain</c:v>
                </c:pt>
                <c:pt idx="6">
                  <c:v>Nausea</c:v>
                </c:pt>
                <c:pt idx="7">
                  <c:v>Pruritus</c:v>
                </c:pt>
                <c:pt idx="8">
                  <c:v>Rash</c:v>
                </c:pt>
                <c:pt idx="9">
                  <c:v>Vomiting</c:v>
                </c:pt>
              </c:strCache>
            </c:strRef>
          </c:cat>
          <c:val>
            <c:numRef>
              <c:f>Sheet9!$B$4:$B$14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F-4BC8-9AAA-D1E45CD08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109423"/>
        <c:axId val="99108463"/>
      </c:barChart>
      <c:catAx>
        <c:axId val="99109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08463"/>
        <c:crosses val="autoZero"/>
        <c:auto val="1"/>
        <c:lblAlgn val="ctr"/>
        <c:lblOffset val="100"/>
        <c:noMultiLvlLbl val="0"/>
      </c:catAx>
      <c:valAx>
        <c:axId val="9910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0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[synthetic_pv_data.xlsx]Sheet11!PivotTable10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</a:t>
            </a:r>
            <a:r>
              <a:rPr lang="en-US" baseline="0"/>
              <a:t>me distribution</a:t>
            </a:r>
            <a:endParaRPr lang="en-US"/>
          </a:p>
        </c:rich>
      </c:tx>
      <c:layout>
        <c:manualLayout>
          <c:xMode val="edge"/>
          <c:yMode val="edge"/>
          <c:x val="0.31715393300600708"/>
          <c:y val="3.580051950531639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94-42A1-A0C3-09E31789ED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94-42A1-A0C3-09E31789ED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94-42A1-A0C3-09E31789ED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Sheet11!$A$4:$A$7</c:f>
              <c:strCache>
                <c:ptCount val="3"/>
                <c:pt idx="0">
                  <c:v>Not Recovered</c:v>
                </c:pt>
                <c:pt idx="1">
                  <c:v>Recovered</c:v>
                </c:pt>
                <c:pt idx="2">
                  <c:v>Recovering</c:v>
                </c:pt>
              </c:strCache>
            </c:strRef>
          </c:cat>
          <c:val>
            <c:numRef>
              <c:f>Sheet11!$B$4:$B$7</c:f>
              <c:numCache>
                <c:formatCode>General</c:formatCode>
                <c:ptCount val="3"/>
                <c:pt idx="0">
                  <c:v>1</c:v>
                </c:pt>
                <c:pt idx="1">
                  <c:v>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94-42A1-A0C3-09E31789ED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40927</xdr:rowOff>
    </xdr:from>
    <xdr:to>
      <xdr:col>7</xdr:col>
      <xdr:colOff>304800</xdr:colOff>
      <xdr:row>50</xdr:row>
      <xdr:rowOff>40927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E0333-3785-9FF3-8344-02058D1A7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43140</xdr:rowOff>
    </xdr:from>
    <xdr:to>
      <xdr:col>7</xdr:col>
      <xdr:colOff>304800</xdr:colOff>
      <xdr:row>31</xdr:row>
      <xdr:rowOff>43139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EF6336-4E3B-B453-BE70-59A1BB7AB6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294969</xdr:colOff>
      <xdr:row>16</xdr:row>
      <xdr:rowOff>116882</xdr:rowOff>
    </xdr:from>
    <xdr:to>
      <xdr:col>18</xdr:col>
      <xdr:colOff>604685</xdr:colOff>
      <xdr:row>31</xdr:row>
      <xdr:rowOff>116881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2CA46E60-29CC-2EF5-A706-B9C9ED682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428933</xdr:colOff>
      <xdr:row>16</xdr:row>
      <xdr:rowOff>95742</xdr:rowOff>
    </xdr:from>
    <xdr:to>
      <xdr:col>30</xdr:col>
      <xdr:colOff>124133</xdr:colOff>
      <xdr:row>31</xdr:row>
      <xdr:rowOff>95742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99500D2B-80BD-5DAA-BA91-42AC433BD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141830</xdr:colOff>
      <xdr:row>36</xdr:row>
      <xdr:rowOff>5040</xdr:rowOff>
    </xdr:from>
    <xdr:to>
      <xdr:col>18</xdr:col>
      <xdr:colOff>446630</xdr:colOff>
      <xdr:row>51</xdr:row>
      <xdr:rowOff>5040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3B37627E-5A18-3E7F-FC92-50BC041AF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313.86791828704" createdVersion="8" refreshedVersion="8" minRefreshableVersion="3" recordCount="10" xr:uid="{C2F4CF3D-7439-4B25-8F24-95412FFBA75D}">
  <cacheSource type="worksheet">
    <worksheetSource name="Table1"/>
  </cacheSource>
  <cacheFields count="10">
    <cacheField name="Case ID" numFmtId="0">
      <sharedItems containsSemiMixedTypes="0" containsString="0" containsNumber="1" containsInteger="1" minValue="1001" maxValue="1010" count="10">
        <n v="1001"/>
        <n v="1002"/>
        <n v="1003"/>
        <n v="1004"/>
        <n v="1005"/>
        <n v="1006"/>
        <n v="1007"/>
        <n v="1008"/>
        <n v="1009"/>
        <n v="1010"/>
      </sharedItems>
    </cacheField>
    <cacheField name="Report date" numFmtId="14">
      <sharedItems containsSemiMixedTypes="0" containsNonDate="0" containsDate="1" containsString="0" minDate="2025-01-05T00:00:00" maxDate="2025-02-17T00:00:00"/>
    </cacheField>
    <cacheField name="Country" numFmtId="0">
      <sharedItems count="7">
        <s v="Germany"/>
        <s v="France"/>
        <s v="Spain"/>
        <s v="Italy"/>
        <s v="Netherlands"/>
        <s v="Belgium"/>
        <s v="Poland"/>
      </sharedItems>
    </cacheField>
    <cacheField name="Product" numFmtId="0">
      <sharedItems count="6">
        <s v="DrugA"/>
        <s v="VaxA"/>
        <s v="DrugB"/>
        <s v="DrugC"/>
        <s v="VaxB"/>
        <s v="DrugD"/>
      </sharedItems>
    </cacheField>
    <cacheField name="Seriousness" numFmtId="0">
      <sharedItems count="2">
        <s v="Serious"/>
        <s v="Non-Serious"/>
      </sharedItems>
    </cacheField>
    <cacheField name="Gender" numFmtId="0">
      <sharedItems count="2">
        <s v="Female"/>
        <s v="Male"/>
      </sharedItems>
    </cacheField>
    <cacheField name="Age group" numFmtId="0">
      <sharedItems count="3">
        <s v="45-64"/>
        <s v="18-44"/>
        <s v="65+"/>
      </sharedItems>
    </cacheField>
    <cacheField name="Event" numFmtId="0">
      <sharedItems count="10">
        <s v="Rash"/>
        <s v="Headache"/>
        <s v="Fatigue"/>
        <s v="Nausea"/>
        <s v="Fever"/>
        <s v="Dizziness"/>
        <s v="Vomiting"/>
        <s v="Injection Site Pain"/>
        <s v="Pruritus"/>
        <s v="Diarrhea"/>
      </sharedItems>
    </cacheField>
    <cacheField name="Source" numFmtId="0">
      <sharedItems count="4">
        <s v="Spontaneous"/>
        <s v="Literature"/>
        <s v="Clinical Study"/>
        <s v="Health Authority"/>
      </sharedItems>
    </cacheField>
    <cacheField name="Outcome" numFmtId="0">
      <sharedItems count="3">
        <s v="Recovered"/>
        <s v="Recovering"/>
        <s v="Not Recover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d v="2025-02-16T00:00:00"/>
    <x v="0"/>
    <x v="0"/>
    <x v="0"/>
    <x v="0"/>
    <x v="0"/>
    <x v="0"/>
    <x v="0"/>
    <x v="0"/>
  </r>
  <r>
    <x v="1"/>
    <d v="2025-01-05T00:00:00"/>
    <x v="1"/>
    <x v="1"/>
    <x v="1"/>
    <x v="1"/>
    <x v="1"/>
    <x v="1"/>
    <x v="1"/>
    <x v="1"/>
  </r>
  <r>
    <x v="2"/>
    <d v="2025-01-07T00:00:00"/>
    <x v="2"/>
    <x v="2"/>
    <x v="1"/>
    <x v="0"/>
    <x v="2"/>
    <x v="2"/>
    <x v="2"/>
    <x v="0"/>
  </r>
  <r>
    <x v="3"/>
    <d v="2025-01-10T00:00:00"/>
    <x v="3"/>
    <x v="3"/>
    <x v="0"/>
    <x v="1"/>
    <x v="0"/>
    <x v="3"/>
    <x v="0"/>
    <x v="2"/>
  </r>
  <r>
    <x v="4"/>
    <d v="2025-01-13T00:00:00"/>
    <x v="4"/>
    <x v="4"/>
    <x v="1"/>
    <x v="0"/>
    <x v="1"/>
    <x v="4"/>
    <x v="3"/>
    <x v="0"/>
  </r>
  <r>
    <x v="5"/>
    <d v="2025-01-15T00:00:00"/>
    <x v="0"/>
    <x v="0"/>
    <x v="1"/>
    <x v="1"/>
    <x v="1"/>
    <x v="5"/>
    <x v="1"/>
    <x v="0"/>
  </r>
  <r>
    <x v="6"/>
    <d v="2025-01-18T00:00:00"/>
    <x v="5"/>
    <x v="5"/>
    <x v="0"/>
    <x v="0"/>
    <x v="2"/>
    <x v="6"/>
    <x v="0"/>
    <x v="1"/>
  </r>
  <r>
    <x v="7"/>
    <d v="2025-01-20T00:00:00"/>
    <x v="6"/>
    <x v="1"/>
    <x v="1"/>
    <x v="1"/>
    <x v="0"/>
    <x v="7"/>
    <x v="2"/>
    <x v="0"/>
  </r>
  <r>
    <x v="8"/>
    <d v="2025-01-23T00:00:00"/>
    <x v="1"/>
    <x v="2"/>
    <x v="0"/>
    <x v="0"/>
    <x v="0"/>
    <x v="8"/>
    <x v="3"/>
    <x v="0"/>
  </r>
  <r>
    <x v="9"/>
    <d v="2025-01-25T00:00:00"/>
    <x v="2"/>
    <x v="3"/>
    <x v="1"/>
    <x v="1"/>
    <x v="1"/>
    <x v="9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1D967B-EC39-4C33-ABCB-CC816062D2B9}" name="PivotTable3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1" firstHeaderRow="1" firstDataRow="1" firstDataCol="1"/>
  <pivotFields count="10">
    <pivotField dataField="1" showAll="0"/>
    <pivotField numFmtId="14" showAll="0"/>
    <pivotField axis="axisRow" showAll="0">
      <items count="8">
        <item x="5"/>
        <item x="1"/>
        <item x="0"/>
        <item x="3"/>
        <item x="4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ase ID" fld="0" subtotal="count" baseField="0" baseItem="0"/>
  </dataFields>
  <chartFormats count="1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E34C7-F1B7-47C5-B592-693B37F18962}" name="PivotTable4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0"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4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Case ID" fld="0" subtotal="count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42E9A-85E7-4D9C-9590-63CBA70FD274}" name="PivotTable5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10">
    <pivotField dataField="1" showAll="0"/>
    <pivotField numFmtId="14" showAll="0"/>
    <pivotField showAll="0"/>
    <pivotField axis="axisRow" showAll="0">
      <items count="7">
        <item x="0"/>
        <item x="2"/>
        <item x="3"/>
        <item x="5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ase ID" fld="0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A90DF-FA71-423E-8CE0-CD24B5556478}" name="PivotTable8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10">
    <pivotField dataField="1" showAll="0"/>
    <pivotField numFmtId="14" showAll="0"/>
    <pivotField showAll="0"/>
    <pivotField showAll="0"/>
    <pivotField showAll="0"/>
    <pivotField showAll="0"/>
    <pivotField showAll="0"/>
    <pivotField axis="axisRow" showAll="0">
      <items count="11">
        <item x="9"/>
        <item x="5"/>
        <item x="2"/>
        <item x="4"/>
        <item x="1"/>
        <item x="7"/>
        <item x="3"/>
        <item x="8"/>
        <item x="0"/>
        <item x="6"/>
        <item t="default"/>
      </items>
    </pivotField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ase ID" fld="0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B8B2F3-D724-4E94-8BE2-379CDEC74201}" name="PivotTable9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0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as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BEF64-2B08-4116-9DB5-8335143D44A2}" name="PivotTable10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0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se ID" fld="0" subtotal="count" baseField="0" baseItem="0"/>
  </dataField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3595C-3809-43B7-B286-968268DFD32A}" name="PivotTable1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0">
    <pivotField dataField="1" showAll="0"/>
    <pivotField numFmtId="1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Cas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FC67FE-21AE-4617-B9DA-9CFE63A6CEBE}" name="PivotTable1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0">
    <pivotField dataField="1" showAll="0"/>
    <pivotField numFmtId="14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s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D2950-315F-4694-A7CD-79392FE9D6EB}" name="PivotTable13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1" firstDataRow="2" firstDataCol="1"/>
  <pivotFields count="10">
    <pivotField dataField="1" showAll="0"/>
    <pivotField numFmtId="14" showAll="0"/>
    <pivotField showAll="0"/>
    <pivotField axis="axisRow" showAll="0">
      <items count="7">
        <item x="0"/>
        <item x="2"/>
        <item x="3"/>
        <item x="5"/>
        <item x="1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Cas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06B52-ACE3-472F-AB18-80BAA614B2CF}" name="PivotTable14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2" firstHeaderRow="1" firstDataRow="2" firstDataCol="1"/>
  <pivotFields count="10">
    <pivotField dataField="1" showAll="0"/>
    <pivotField numFmtId="14" showAll="0"/>
    <pivotField axis="axisRow" showAll="0">
      <items count="8">
        <item x="5"/>
        <item x="1"/>
        <item x="0"/>
        <item x="3"/>
        <item x="4"/>
        <item x="6"/>
        <item x="2"/>
        <item t="default"/>
      </items>
    </pivotField>
    <pivotField axis="axisCol" showAll="0">
      <items count="7">
        <item x="0"/>
        <item x="2"/>
        <item x="3"/>
        <item x="5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Cas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B1E09C-F2D4-48D4-BE2E-27F9748B1B6F}" name="Table1" displayName="Table1" ref="A1:J11" totalsRowShown="0" dataDxfId="0">
  <autoFilter ref="A1:J11" xr:uid="{BFB1E09C-F2D4-48D4-BE2E-27F9748B1B6F}"/>
  <tableColumns count="10">
    <tableColumn id="1" xr3:uid="{B4D34F15-AB8F-4A9D-B8F9-F8726DA710E7}" name="Case ID" dataDxfId="10"/>
    <tableColumn id="2" xr3:uid="{6B2D57BF-3BA1-451A-9998-6E90377AF1C5}" name="Report date" dataDxfId="9"/>
    <tableColumn id="3" xr3:uid="{0615E1A9-1BC1-4B89-8DD7-1C19EFAB80DB}" name="Country" dataDxfId="8"/>
    <tableColumn id="4" xr3:uid="{E09DED4E-9FE0-4A08-AD8E-018B545F30E4}" name="Product" dataDxfId="7"/>
    <tableColumn id="5" xr3:uid="{BDAC4228-B162-4A1E-8BE7-B8835ACCA115}" name="Seriousness" dataDxfId="6"/>
    <tableColumn id="6" xr3:uid="{A1FB2277-AD85-4194-BEFC-D19A73E0022D}" name="Gender" dataDxfId="5"/>
    <tableColumn id="7" xr3:uid="{69DF7A09-960B-44D2-815B-067E87F074E3}" name="Age group" dataDxfId="4"/>
    <tableColumn id="8" xr3:uid="{C2C5B22A-0CD1-46A7-BDF9-5A5BAF336810}" name="Event" dataDxfId="3"/>
    <tableColumn id="9" xr3:uid="{DEEB7083-A6A8-48EF-9F7E-341F85D31565}" name="Source" dataDxfId="2"/>
    <tableColumn id="10" xr3:uid="{44AD96AC-E483-47CE-A314-79B209C7B2AB}" name="Outcom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C3BF-B4FD-40A3-82A5-242E8718E8F1}">
  <dimension ref="A3:B11"/>
  <sheetViews>
    <sheetView workbookViewId="0">
      <selection activeCell="O9" sqref="O9"/>
    </sheetView>
  </sheetViews>
  <sheetFormatPr defaultRowHeight="14.4" x14ac:dyDescent="0.3"/>
  <cols>
    <col min="1" max="1" width="12.44140625" bestFit="1" customWidth="1"/>
    <col min="2" max="2" width="14.44140625" bestFit="1" customWidth="1"/>
  </cols>
  <sheetData>
    <row r="3" spans="1:2" x14ac:dyDescent="0.3">
      <c r="A3" s="3" t="s">
        <v>47</v>
      </c>
      <c r="B3" t="s">
        <v>49</v>
      </c>
    </row>
    <row r="4" spans="1:2" x14ac:dyDescent="0.3">
      <c r="A4" s="4" t="s">
        <v>40</v>
      </c>
      <c r="B4" s="5">
        <v>1</v>
      </c>
    </row>
    <row r="5" spans="1:2" x14ac:dyDescent="0.3">
      <c r="A5" s="4" t="s">
        <v>18</v>
      </c>
      <c r="B5" s="5">
        <v>2</v>
      </c>
    </row>
    <row r="6" spans="1:2" x14ac:dyDescent="0.3">
      <c r="A6" s="4" t="s">
        <v>10</v>
      </c>
      <c r="B6" s="5">
        <v>2</v>
      </c>
    </row>
    <row r="7" spans="1:2" x14ac:dyDescent="0.3">
      <c r="A7" s="4" t="s">
        <v>31</v>
      </c>
      <c r="B7" s="5">
        <v>1</v>
      </c>
    </row>
    <row r="8" spans="1:2" x14ac:dyDescent="0.3">
      <c r="A8" s="4" t="s">
        <v>35</v>
      </c>
      <c r="B8" s="5">
        <v>1</v>
      </c>
    </row>
    <row r="9" spans="1:2" x14ac:dyDescent="0.3">
      <c r="A9" s="4" t="s">
        <v>43</v>
      </c>
      <c r="B9" s="5">
        <v>1</v>
      </c>
    </row>
    <row r="10" spans="1:2" x14ac:dyDescent="0.3">
      <c r="A10" s="4" t="s">
        <v>26</v>
      </c>
      <c r="B10" s="5">
        <v>2</v>
      </c>
    </row>
    <row r="11" spans="1:2" x14ac:dyDescent="0.3">
      <c r="A11" s="4" t="s">
        <v>48</v>
      </c>
      <c r="B11" s="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BFDAF-2BF1-4BA8-A27C-C3BC011E65CC}">
  <dimension ref="A1:V13"/>
  <sheetViews>
    <sheetView tabSelected="1" zoomScale="62" zoomScaleNormal="62" workbookViewId="0">
      <selection activeCell="Q9" sqref="Q9"/>
    </sheetView>
  </sheetViews>
  <sheetFormatPr defaultRowHeight="14.4" x14ac:dyDescent="0.3"/>
  <cols>
    <col min="2" max="2" width="8.88671875" customWidth="1"/>
  </cols>
  <sheetData>
    <row r="1" spans="1:22" ht="14.4" customHeight="1" x14ac:dyDescent="0.3">
      <c r="A1" s="10" t="s">
        <v>57</v>
      </c>
      <c r="B1" s="11"/>
      <c r="C1" s="11"/>
      <c r="D1" s="11"/>
      <c r="F1" s="12" t="s">
        <v>58</v>
      </c>
      <c r="G1" s="13"/>
      <c r="H1" s="13"/>
      <c r="I1" s="13"/>
      <c r="L1" s="12" t="s">
        <v>60</v>
      </c>
      <c r="M1" s="13"/>
      <c r="N1" s="13"/>
      <c r="O1" s="13"/>
      <c r="R1" s="12" t="s">
        <v>59</v>
      </c>
      <c r="S1" s="13"/>
      <c r="T1" s="13"/>
      <c r="U1" s="13"/>
      <c r="V1" s="13"/>
    </row>
    <row r="2" spans="1:22" ht="14.4" customHeight="1" x14ac:dyDescent="0.3">
      <c r="A2" s="11"/>
      <c r="B2" s="11"/>
      <c r="C2" s="11"/>
      <c r="D2" s="11"/>
      <c r="F2" s="13"/>
      <c r="G2" s="13"/>
      <c r="H2" s="13"/>
      <c r="I2" s="13"/>
      <c r="L2" s="13"/>
      <c r="M2" s="13"/>
      <c r="N2" s="13"/>
      <c r="O2" s="13"/>
      <c r="R2" s="13"/>
      <c r="S2" s="13"/>
      <c r="T2" s="13"/>
      <c r="U2" s="13"/>
      <c r="V2" s="13"/>
    </row>
    <row r="3" spans="1:22" ht="14.4" customHeight="1" x14ac:dyDescent="0.3">
      <c r="A3" s="11"/>
      <c r="B3" s="11"/>
      <c r="C3" s="11"/>
      <c r="D3" s="11"/>
      <c r="F3" s="13"/>
      <c r="G3" s="13"/>
      <c r="H3" s="13"/>
      <c r="I3" s="13"/>
      <c r="L3" s="13"/>
      <c r="M3" s="13"/>
      <c r="N3" s="13"/>
      <c r="O3" s="13"/>
      <c r="R3" s="13"/>
      <c r="S3" s="13"/>
      <c r="T3" s="13"/>
      <c r="U3" s="13"/>
      <c r="V3" s="13"/>
    </row>
    <row r="4" spans="1:22" x14ac:dyDescent="0.3">
      <c r="A4" s="11"/>
      <c r="B4" s="11"/>
      <c r="C4" s="11"/>
      <c r="D4" s="11"/>
      <c r="E4" s="8"/>
      <c r="F4" s="13"/>
      <c r="G4" s="13"/>
      <c r="H4" s="13"/>
      <c r="I4" s="13"/>
      <c r="L4" s="13"/>
      <c r="M4" s="13"/>
      <c r="N4" s="13"/>
      <c r="O4" s="13"/>
      <c r="R4" s="13"/>
      <c r="S4" s="13"/>
      <c r="T4" s="13"/>
      <c r="U4" s="13"/>
      <c r="V4" s="13"/>
    </row>
    <row r="5" spans="1:22" x14ac:dyDescent="0.3">
      <c r="A5" s="11"/>
      <c r="B5" s="11"/>
      <c r="C5" s="11"/>
      <c r="D5" s="11"/>
      <c r="E5" s="8"/>
      <c r="F5" s="13"/>
      <c r="G5" s="13"/>
      <c r="H5" s="13"/>
      <c r="I5" s="13"/>
      <c r="L5" s="13"/>
      <c r="M5" s="13"/>
      <c r="N5" s="13"/>
      <c r="O5" s="13"/>
      <c r="R5" s="13"/>
      <c r="S5" s="13"/>
      <c r="T5" s="13"/>
      <c r="U5" s="13"/>
      <c r="V5" s="13"/>
    </row>
    <row r="9" spans="1:22" x14ac:dyDescent="0.3">
      <c r="B9" s="7"/>
    </row>
    <row r="13" spans="1:22" ht="25.8" x14ac:dyDescent="0.5">
      <c r="E13" s="9" t="s">
        <v>56</v>
      </c>
    </row>
  </sheetData>
  <mergeCells count="4">
    <mergeCell ref="R1:V5"/>
    <mergeCell ref="A1:D5"/>
    <mergeCell ref="F1:I5"/>
    <mergeCell ref="L1:O5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959D-5DAB-4FB0-94A9-45AF421848DD}">
  <dimension ref="A2:A13"/>
  <sheetViews>
    <sheetView workbookViewId="0">
      <selection activeCell="A15" sqref="A15"/>
    </sheetView>
  </sheetViews>
  <sheetFormatPr defaultRowHeight="14.4" x14ac:dyDescent="0.3"/>
  <cols>
    <col min="1" max="1" width="14.77734375" customWidth="1"/>
  </cols>
  <sheetData>
    <row r="2" spans="1:1" x14ac:dyDescent="0.3">
      <c r="A2" s="6" t="s">
        <v>51</v>
      </c>
    </row>
    <row r="4" spans="1:1" x14ac:dyDescent="0.3">
      <c r="A4" t="s">
        <v>52</v>
      </c>
    </row>
    <row r="6" spans="1:1" x14ac:dyDescent="0.3">
      <c r="A6" s="7" t="s">
        <v>4</v>
      </c>
    </row>
    <row r="8" spans="1:1" x14ac:dyDescent="0.3">
      <c r="A8" t="s">
        <v>53</v>
      </c>
    </row>
    <row r="11" spans="1:1" x14ac:dyDescent="0.3">
      <c r="A11" t="s">
        <v>54</v>
      </c>
    </row>
    <row r="13" spans="1:1" x14ac:dyDescent="0.3">
      <c r="A13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CD64-47CD-40A6-99A9-8C882EB8DD3F}">
  <dimension ref="A3:B6"/>
  <sheetViews>
    <sheetView workbookViewId="0">
      <selection activeCell="O9" sqref="O9"/>
    </sheetView>
  </sheetViews>
  <sheetFormatPr defaultRowHeight="14.4" x14ac:dyDescent="0.3"/>
  <cols>
    <col min="1" max="1" width="12.44140625" bestFit="1" customWidth="1"/>
    <col min="2" max="2" width="14.44140625" bestFit="1" customWidth="1"/>
  </cols>
  <sheetData>
    <row r="3" spans="1:2" x14ac:dyDescent="0.3">
      <c r="A3" s="3" t="s">
        <v>47</v>
      </c>
      <c r="B3" t="s">
        <v>49</v>
      </c>
    </row>
    <row r="4" spans="1:2" x14ac:dyDescent="0.3">
      <c r="A4" s="4" t="s">
        <v>20</v>
      </c>
      <c r="B4" s="5">
        <v>6</v>
      </c>
    </row>
    <row r="5" spans="1:2" x14ac:dyDescent="0.3">
      <c r="A5" s="4" t="s">
        <v>12</v>
      </c>
      <c r="B5" s="5">
        <v>4</v>
      </c>
    </row>
    <row r="6" spans="1:2" x14ac:dyDescent="0.3">
      <c r="A6" s="4" t="s">
        <v>48</v>
      </c>
      <c r="B6" s="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F6C1-BD90-4FD7-AD46-F641E396A970}">
  <dimension ref="A3:B10"/>
  <sheetViews>
    <sheetView workbookViewId="0">
      <selection activeCell="L4" sqref="L4"/>
    </sheetView>
  </sheetViews>
  <sheetFormatPr defaultRowHeight="14.4" x14ac:dyDescent="0.3"/>
  <cols>
    <col min="1" max="1" width="12.44140625" bestFit="1" customWidth="1"/>
    <col min="2" max="2" width="14.44140625" bestFit="1" customWidth="1"/>
  </cols>
  <sheetData>
    <row r="3" spans="1:2" x14ac:dyDescent="0.3">
      <c r="A3" s="3" t="s">
        <v>47</v>
      </c>
      <c r="B3" t="s">
        <v>49</v>
      </c>
    </row>
    <row r="4" spans="1:2" x14ac:dyDescent="0.3">
      <c r="A4" s="4" t="s">
        <v>11</v>
      </c>
      <c r="B4" s="5">
        <v>2</v>
      </c>
    </row>
    <row r="5" spans="1:2" x14ac:dyDescent="0.3">
      <c r="A5" s="4" t="s">
        <v>27</v>
      </c>
      <c r="B5" s="5">
        <v>2</v>
      </c>
    </row>
    <row r="6" spans="1:2" x14ac:dyDescent="0.3">
      <c r="A6" s="4" t="s">
        <v>32</v>
      </c>
      <c r="B6" s="5">
        <v>2</v>
      </c>
    </row>
    <row r="7" spans="1:2" x14ac:dyDescent="0.3">
      <c r="A7" s="4" t="s">
        <v>41</v>
      </c>
      <c r="B7" s="5">
        <v>1</v>
      </c>
    </row>
    <row r="8" spans="1:2" x14ac:dyDescent="0.3">
      <c r="A8" s="4" t="s">
        <v>19</v>
      </c>
      <c r="B8" s="5">
        <v>2</v>
      </c>
    </row>
    <row r="9" spans="1:2" x14ac:dyDescent="0.3">
      <c r="A9" s="4" t="s">
        <v>36</v>
      </c>
      <c r="B9" s="5">
        <v>1</v>
      </c>
    </row>
    <row r="10" spans="1:2" x14ac:dyDescent="0.3">
      <c r="A10" s="4" t="s">
        <v>48</v>
      </c>
      <c r="B10" s="5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03B0-264E-4943-AF1C-7AB0D3EEF400}">
  <dimension ref="A3:B14"/>
  <sheetViews>
    <sheetView workbookViewId="0">
      <selection activeCell="O12" sqref="O12"/>
    </sheetView>
  </sheetViews>
  <sheetFormatPr defaultRowHeight="14.4" x14ac:dyDescent="0.3"/>
  <cols>
    <col min="1" max="1" width="15.21875" bestFit="1" customWidth="1"/>
    <col min="2" max="2" width="14.44140625" bestFit="1" customWidth="1"/>
  </cols>
  <sheetData>
    <row r="3" spans="1:2" x14ac:dyDescent="0.3">
      <c r="A3" s="3" t="s">
        <v>47</v>
      </c>
      <c r="B3" t="s">
        <v>49</v>
      </c>
    </row>
    <row r="4" spans="1:2" x14ac:dyDescent="0.3">
      <c r="A4" s="4" t="s">
        <v>46</v>
      </c>
      <c r="B4" s="5">
        <v>1</v>
      </c>
    </row>
    <row r="5" spans="1:2" x14ac:dyDescent="0.3">
      <c r="A5" s="4" t="s">
        <v>39</v>
      </c>
      <c r="B5" s="5">
        <v>1</v>
      </c>
    </row>
    <row r="6" spans="1:2" x14ac:dyDescent="0.3">
      <c r="A6" s="4" t="s">
        <v>29</v>
      </c>
      <c r="B6" s="5">
        <v>1</v>
      </c>
    </row>
    <row r="7" spans="1:2" x14ac:dyDescent="0.3">
      <c r="A7" s="4" t="s">
        <v>37</v>
      </c>
      <c r="B7" s="5">
        <v>1</v>
      </c>
    </row>
    <row r="8" spans="1:2" x14ac:dyDescent="0.3">
      <c r="A8" s="4" t="s">
        <v>23</v>
      </c>
      <c r="B8" s="5">
        <v>1</v>
      </c>
    </row>
    <row r="9" spans="1:2" x14ac:dyDescent="0.3">
      <c r="A9" s="4" t="s">
        <v>44</v>
      </c>
      <c r="B9" s="5">
        <v>1</v>
      </c>
    </row>
    <row r="10" spans="1:2" x14ac:dyDescent="0.3">
      <c r="A10" s="4" t="s">
        <v>33</v>
      </c>
      <c r="B10" s="5">
        <v>1</v>
      </c>
    </row>
    <row r="11" spans="1:2" x14ac:dyDescent="0.3">
      <c r="A11" s="4" t="s">
        <v>45</v>
      </c>
      <c r="B11" s="5">
        <v>1</v>
      </c>
    </row>
    <row r="12" spans="1:2" x14ac:dyDescent="0.3">
      <c r="A12" s="4" t="s">
        <v>15</v>
      </c>
      <c r="B12" s="5">
        <v>1</v>
      </c>
    </row>
    <row r="13" spans="1:2" x14ac:dyDescent="0.3">
      <c r="A13" s="4" t="s">
        <v>42</v>
      </c>
      <c r="B13" s="5">
        <v>1</v>
      </c>
    </row>
    <row r="14" spans="1:2" x14ac:dyDescent="0.3">
      <c r="A14" s="4" t="s">
        <v>48</v>
      </c>
      <c r="B14" s="5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D1ED-F773-4158-88AA-C3B159772335}">
  <dimension ref="A3:B8"/>
  <sheetViews>
    <sheetView workbookViewId="0">
      <selection activeCell="F13" sqref="F13"/>
    </sheetView>
  </sheetViews>
  <sheetFormatPr defaultRowHeight="14.4" x14ac:dyDescent="0.3"/>
  <cols>
    <col min="1" max="1" width="13.88671875" bestFit="1" customWidth="1"/>
    <col min="2" max="2" width="14.44140625" bestFit="1" customWidth="1"/>
  </cols>
  <sheetData>
    <row r="3" spans="1:2" x14ac:dyDescent="0.3">
      <c r="A3" s="3" t="s">
        <v>47</v>
      </c>
      <c r="B3" t="s">
        <v>49</v>
      </c>
    </row>
    <row r="4" spans="1:2" x14ac:dyDescent="0.3">
      <c r="A4" s="4" t="s">
        <v>30</v>
      </c>
      <c r="B4" s="5">
        <v>2</v>
      </c>
    </row>
    <row r="5" spans="1:2" x14ac:dyDescent="0.3">
      <c r="A5" s="4" t="s">
        <v>38</v>
      </c>
      <c r="B5" s="5">
        <v>2</v>
      </c>
    </row>
    <row r="6" spans="1:2" x14ac:dyDescent="0.3">
      <c r="A6" s="4" t="s">
        <v>24</v>
      </c>
      <c r="B6" s="5">
        <v>3</v>
      </c>
    </row>
    <row r="7" spans="1:2" x14ac:dyDescent="0.3">
      <c r="A7" s="4" t="s">
        <v>16</v>
      </c>
      <c r="B7" s="5">
        <v>3</v>
      </c>
    </row>
    <row r="8" spans="1:2" x14ac:dyDescent="0.3">
      <c r="A8" s="4" t="s">
        <v>48</v>
      </c>
      <c r="B8" s="5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0987-9D39-4C38-B89F-94284EEA6B2A}">
  <dimension ref="A3:B7"/>
  <sheetViews>
    <sheetView workbookViewId="0">
      <selection activeCell="O12" sqref="O12"/>
    </sheetView>
  </sheetViews>
  <sheetFormatPr defaultRowHeight="14.4" x14ac:dyDescent="0.3"/>
  <cols>
    <col min="1" max="1" width="12.77734375" bestFit="1" customWidth="1"/>
    <col min="2" max="2" width="14.44140625" bestFit="1" customWidth="1"/>
  </cols>
  <sheetData>
    <row r="3" spans="1:2" x14ac:dyDescent="0.3">
      <c r="A3" s="3" t="s">
        <v>47</v>
      </c>
      <c r="B3" t="s">
        <v>49</v>
      </c>
    </row>
    <row r="4" spans="1:2" x14ac:dyDescent="0.3">
      <c r="A4" s="4" t="s">
        <v>34</v>
      </c>
      <c r="B4" s="5">
        <v>1</v>
      </c>
    </row>
    <row r="5" spans="1:2" x14ac:dyDescent="0.3">
      <c r="A5" s="4" t="s">
        <v>17</v>
      </c>
      <c r="B5" s="5">
        <v>7</v>
      </c>
    </row>
    <row r="6" spans="1:2" x14ac:dyDescent="0.3">
      <c r="A6" s="4" t="s">
        <v>25</v>
      </c>
      <c r="B6" s="5">
        <v>2</v>
      </c>
    </row>
    <row r="7" spans="1:2" x14ac:dyDescent="0.3">
      <c r="A7" s="4" t="s">
        <v>48</v>
      </c>
      <c r="B7" s="5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1673-970A-4E10-BBB3-B58B78168122}">
  <dimension ref="A3:B6"/>
  <sheetViews>
    <sheetView workbookViewId="0">
      <selection activeCell="G13" sqref="G13"/>
    </sheetView>
  </sheetViews>
  <sheetFormatPr defaultRowHeight="14.4" x14ac:dyDescent="0.3"/>
  <cols>
    <col min="1" max="1" width="12.44140625" bestFit="1" customWidth="1"/>
    <col min="2" max="2" width="14.44140625" bestFit="1" customWidth="1"/>
  </cols>
  <sheetData>
    <row r="3" spans="1:2" x14ac:dyDescent="0.3">
      <c r="A3" s="3" t="s">
        <v>47</v>
      </c>
      <c r="B3" t="s">
        <v>49</v>
      </c>
    </row>
    <row r="4" spans="1:2" x14ac:dyDescent="0.3">
      <c r="A4" s="4" t="s">
        <v>13</v>
      </c>
      <c r="B4" s="5">
        <v>5</v>
      </c>
    </row>
    <row r="5" spans="1:2" x14ac:dyDescent="0.3">
      <c r="A5" s="4" t="s">
        <v>21</v>
      </c>
      <c r="B5" s="5">
        <v>5</v>
      </c>
    </row>
    <row r="6" spans="1:2" x14ac:dyDescent="0.3">
      <c r="A6" s="4" t="s">
        <v>48</v>
      </c>
      <c r="B6" s="5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2B68-E65C-4E2D-8C37-7C3200520DA4}">
  <dimension ref="A3:B7"/>
  <sheetViews>
    <sheetView workbookViewId="0">
      <selection activeCell="H12" sqref="H12"/>
    </sheetView>
  </sheetViews>
  <sheetFormatPr defaultRowHeight="14.4" x14ac:dyDescent="0.3"/>
  <cols>
    <col min="1" max="1" width="12.44140625" bestFit="1" customWidth="1"/>
    <col min="2" max="2" width="14.44140625" bestFit="1" customWidth="1"/>
  </cols>
  <sheetData>
    <row r="3" spans="1:2" x14ac:dyDescent="0.3">
      <c r="A3" s="3" t="s">
        <v>47</v>
      </c>
      <c r="B3" t="s">
        <v>49</v>
      </c>
    </row>
    <row r="4" spans="1:2" x14ac:dyDescent="0.3">
      <c r="A4" s="4" t="s">
        <v>22</v>
      </c>
      <c r="B4" s="5">
        <v>4</v>
      </c>
    </row>
    <row r="5" spans="1:2" x14ac:dyDescent="0.3">
      <c r="A5" s="4" t="s">
        <v>14</v>
      </c>
      <c r="B5" s="5">
        <v>4</v>
      </c>
    </row>
    <row r="6" spans="1:2" x14ac:dyDescent="0.3">
      <c r="A6" s="4" t="s">
        <v>28</v>
      </c>
      <c r="B6" s="5">
        <v>2</v>
      </c>
    </row>
    <row r="7" spans="1:2" x14ac:dyDescent="0.3">
      <c r="A7" s="4" t="s">
        <v>48</v>
      </c>
      <c r="B7" s="5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2F84-4AC3-4DD8-89AA-5FE2DDF1C7A1}">
  <dimension ref="A3:D11"/>
  <sheetViews>
    <sheetView workbookViewId="0">
      <selection activeCell="B5" sqref="B5"/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3" width="7.21875" bestFit="1" customWidth="1"/>
    <col min="4" max="4" width="10.5546875" bestFit="1" customWidth="1"/>
  </cols>
  <sheetData>
    <row r="3" spans="1:4" x14ac:dyDescent="0.3">
      <c r="A3" s="3" t="s">
        <v>49</v>
      </c>
      <c r="B3" s="3" t="s">
        <v>50</v>
      </c>
    </row>
    <row r="4" spans="1:4" x14ac:dyDescent="0.3">
      <c r="A4" s="3" t="s">
        <v>47</v>
      </c>
      <c r="B4" t="s">
        <v>20</v>
      </c>
      <c r="C4" t="s">
        <v>12</v>
      </c>
      <c r="D4" t="s">
        <v>48</v>
      </c>
    </row>
    <row r="5" spans="1:4" x14ac:dyDescent="0.3">
      <c r="A5" s="4" t="s">
        <v>11</v>
      </c>
      <c r="B5" s="5">
        <v>1</v>
      </c>
      <c r="C5" s="5">
        <v>1</v>
      </c>
      <c r="D5" s="5">
        <v>2</v>
      </c>
    </row>
    <row r="6" spans="1:4" x14ac:dyDescent="0.3">
      <c r="A6" s="4" t="s">
        <v>27</v>
      </c>
      <c r="B6" s="5">
        <v>1</v>
      </c>
      <c r="C6" s="5">
        <v>1</v>
      </c>
      <c r="D6" s="5">
        <v>2</v>
      </c>
    </row>
    <row r="7" spans="1:4" x14ac:dyDescent="0.3">
      <c r="A7" s="4" t="s">
        <v>32</v>
      </c>
      <c r="B7" s="5">
        <v>1</v>
      </c>
      <c r="C7" s="5">
        <v>1</v>
      </c>
      <c r="D7" s="5">
        <v>2</v>
      </c>
    </row>
    <row r="8" spans="1:4" x14ac:dyDescent="0.3">
      <c r="A8" s="4" t="s">
        <v>41</v>
      </c>
      <c r="B8" s="5"/>
      <c r="C8" s="5">
        <v>1</v>
      </c>
      <c r="D8" s="5">
        <v>1</v>
      </c>
    </row>
    <row r="9" spans="1:4" x14ac:dyDescent="0.3">
      <c r="A9" s="4" t="s">
        <v>19</v>
      </c>
      <c r="B9" s="5">
        <v>2</v>
      </c>
      <c r="C9" s="5"/>
      <c r="D9" s="5">
        <v>2</v>
      </c>
    </row>
    <row r="10" spans="1:4" x14ac:dyDescent="0.3">
      <c r="A10" s="4" t="s">
        <v>36</v>
      </c>
      <c r="B10" s="5">
        <v>1</v>
      </c>
      <c r="C10" s="5"/>
      <c r="D10" s="5">
        <v>1</v>
      </c>
    </row>
    <row r="11" spans="1:4" x14ac:dyDescent="0.3">
      <c r="A11" s="4" t="s">
        <v>48</v>
      </c>
      <c r="B11" s="5">
        <v>6</v>
      </c>
      <c r="C11" s="5">
        <v>4</v>
      </c>
      <c r="D11" s="5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103F-49C1-48E9-A6E8-C7A56B3B5F95}">
  <dimension ref="A3:H12"/>
  <sheetViews>
    <sheetView workbookViewId="0">
      <selection activeCell="J13" sqref="J13"/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3" width="5.88671875" bestFit="1" customWidth="1"/>
    <col min="4" max="5" width="6" bestFit="1" customWidth="1"/>
    <col min="6" max="7" width="5.109375" bestFit="1" customWidth="1"/>
    <col min="8" max="8" width="10.5546875" bestFit="1" customWidth="1"/>
  </cols>
  <sheetData>
    <row r="3" spans="1:8" x14ac:dyDescent="0.3">
      <c r="A3" s="3" t="s">
        <v>49</v>
      </c>
      <c r="B3" s="3" t="s">
        <v>50</v>
      </c>
    </row>
    <row r="4" spans="1:8" x14ac:dyDescent="0.3">
      <c r="A4" s="3" t="s">
        <v>47</v>
      </c>
      <c r="B4" t="s">
        <v>11</v>
      </c>
      <c r="C4" t="s">
        <v>27</v>
      </c>
      <c r="D4" t="s">
        <v>32</v>
      </c>
      <c r="E4" t="s">
        <v>41</v>
      </c>
      <c r="F4" t="s">
        <v>19</v>
      </c>
      <c r="G4" t="s">
        <v>36</v>
      </c>
      <c r="H4" t="s">
        <v>48</v>
      </c>
    </row>
    <row r="5" spans="1:8" x14ac:dyDescent="0.3">
      <c r="A5" s="4" t="s">
        <v>40</v>
      </c>
      <c r="B5" s="5"/>
      <c r="C5" s="5"/>
      <c r="D5" s="5"/>
      <c r="E5" s="5">
        <v>1</v>
      </c>
      <c r="F5" s="5"/>
      <c r="G5" s="5"/>
      <c r="H5" s="5">
        <v>1</v>
      </c>
    </row>
    <row r="6" spans="1:8" x14ac:dyDescent="0.3">
      <c r="A6" s="4" t="s">
        <v>18</v>
      </c>
      <c r="B6" s="5"/>
      <c r="C6" s="5">
        <v>1</v>
      </c>
      <c r="D6" s="5"/>
      <c r="E6" s="5"/>
      <c r="F6" s="5">
        <v>1</v>
      </c>
      <c r="G6" s="5"/>
      <c r="H6" s="5">
        <v>2</v>
      </c>
    </row>
    <row r="7" spans="1:8" x14ac:dyDescent="0.3">
      <c r="A7" s="4" t="s">
        <v>10</v>
      </c>
      <c r="B7" s="5">
        <v>2</v>
      </c>
      <c r="C7" s="5"/>
      <c r="D7" s="5"/>
      <c r="E7" s="5"/>
      <c r="F7" s="5"/>
      <c r="G7" s="5"/>
      <c r="H7" s="5">
        <v>2</v>
      </c>
    </row>
    <row r="8" spans="1:8" x14ac:dyDescent="0.3">
      <c r="A8" s="4" t="s">
        <v>31</v>
      </c>
      <c r="B8" s="5"/>
      <c r="C8" s="5"/>
      <c r="D8" s="5">
        <v>1</v>
      </c>
      <c r="E8" s="5"/>
      <c r="F8" s="5"/>
      <c r="G8" s="5"/>
      <c r="H8" s="5">
        <v>1</v>
      </c>
    </row>
    <row r="9" spans="1:8" x14ac:dyDescent="0.3">
      <c r="A9" s="4" t="s">
        <v>35</v>
      </c>
      <c r="B9" s="5"/>
      <c r="C9" s="5"/>
      <c r="D9" s="5"/>
      <c r="E9" s="5"/>
      <c r="F9" s="5"/>
      <c r="G9" s="5">
        <v>1</v>
      </c>
      <c r="H9" s="5">
        <v>1</v>
      </c>
    </row>
    <row r="10" spans="1:8" x14ac:dyDescent="0.3">
      <c r="A10" s="4" t="s">
        <v>43</v>
      </c>
      <c r="B10" s="5"/>
      <c r="C10" s="5"/>
      <c r="D10" s="5"/>
      <c r="E10" s="5"/>
      <c r="F10" s="5">
        <v>1</v>
      </c>
      <c r="G10" s="5"/>
      <c r="H10" s="5">
        <v>1</v>
      </c>
    </row>
    <row r="11" spans="1:8" x14ac:dyDescent="0.3">
      <c r="A11" s="4" t="s">
        <v>26</v>
      </c>
      <c r="B11" s="5"/>
      <c r="C11" s="5">
        <v>1</v>
      </c>
      <c r="D11" s="5">
        <v>1</v>
      </c>
      <c r="E11" s="5"/>
      <c r="F11" s="5"/>
      <c r="G11" s="5"/>
      <c r="H11" s="5">
        <v>2</v>
      </c>
    </row>
    <row r="12" spans="1:8" x14ac:dyDescent="0.3">
      <c r="A12" s="4" t="s">
        <v>48</v>
      </c>
      <c r="B12" s="5">
        <v>2</v>
      </c>
      <c r="C12" s="5">
        <v>2</v>
      </c>
      <c r="D12" s="5">
        <v>2</v>
      </c>
      <c r="E12" s="5">
        <v>1</v>
      </c>
      <c r="F12" s="5">
        <v>2</v>
      </c>
      <c r="G12" s="5">
        <v>1</v>
      </c>
      <c r="H12" s="5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C41AC-A2C1-4EC4-A352-5024B4C9CCDD}">
  <dimension ref="A1:J11"/>
  <sheetViews>
    <sheetView workbookViewId="0">
      <selection activeCell="B4" sqref="B4"/>
    </sheetView>
  </sheetViews>
  <sheetFormatPr defaultRowHeight="14.4" x14ac:dyDescent="0.3"/>
  <cols>
    <col min="1" max="2" width="16" customWidth="1"/>
    <col min="3" max="3" width="11.6640625" customWidth="1"/>
    <col min="4" max="4" width="13.21875" customWidth="1"/>
    <col min="5" max="5" width="14" customWidth="1"/>
    <col min="6" max="6" width="13.109375" customWidth="1"/>
    <col min="7" max="7" width="12.88671875" customWidth="1"/>
    <col min="8" max="8" width="14.21875" customWidth="1"/>
    <col min="9" max="9" width="12.88671875" customWidth="1"/>
    <col min="10" max="10" width="10.5546875" customWidth="1"/>
  </cols>
  <sheetData>
    <row r="1" spans="1:10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" thickBot="1" x14ac:dyDescent="0.35">
      <c r="A2" s="1">
        <v>1001</v>
      </c>
      <c r="B2" s="2">
        <v>45704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ht="15" thickBot="1" x14ac:dyDescent="0.35">
      <c r="A3" s="1">
        <v>1002</v>
      </c>
      <c r="B3" s="2">
        <v>45662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</row>
    <row r="4" spans="1:10" ht="15" thickBot="1" x14ac:dyDescent="0.35">
      <c r="A4" s="1">
        <v>1003</v>
      </c>
      <c r="B4" s="2">
        <v>45664</v>
      </c>
      <c r="C4" s="1" t="s">
        <v>26</v>
      </c>
      <c r="D4" s="1" t="s">
        <v>27</v>
      </c>
      <c r="E4" s="1" t="s">
        <v>20</v>
      </c>
      <c r="F4" s="1" t="s">
        <v>13</v>
      </c>
      <c r="G4" s="1" t="s">
        <v>28</v>
      </c>
      <c r="H4" s="1" t="s">
        <v>29</v>
      </c>
      <c r="I4" s="1" t="s">
        <v>30</v>
      </c>
      <c r="J4" s="1" t="s">
        <v>17</v>
      </c>
    </row>
    <row r="5" spans="1:10" ht="15" thickBot="1" x14ac:dyDescent="0.35">
      <c r="A5" s="1">
        <v>1004</v>
      </c>
      <c r="B5" s="2">
        <v>45667</v>
      </c>
      <c r="C5" s="1" t="s">
        <v>31</v>
      </c>
      <c r="D5" s="1" t="s">
        <v>32</v>
      </c>
      <c r="E5" s="1" t="s">
        <v>12</v>
      </c>
      <c r="F5" s="1" t="s">
        <v>21</v>
      </c>
      <c r="G5" s="1" t="s">
        <v>14</v>
      </c>
      <c r="H5" s="1" t="s">
        <v>33</v>
      </c>
      <c r="I5" s="1" t="s">
        <v>16</v>
      </c>
      <c r="J5" s="1" t="s">
        <v>34</v>
      </c>
    </row>
    <row r="6" spans="1:10" ht="15" thickBot="1" x14ac:dyDescent="0.35">
      <c r="A6" s="1">
        <v>1005</v>
      </c>
      <c r="B6" s="2">
        <v>45670</v>
      </c>
      <c r="C6" s="1" t="s">
        <v>35</v>
      </c>
      <c r="D6" s="1" t="s">
        <v>36</v>
      </c>
      <c r="E6" s="1" t="s">
        <v>20</v>
      </c>
      <c r="F6" s="1" t="s">
        <v>13</v>
      </c>
      <c r="G6" s="1" t="s">
        <v>22</v>
      </c>
      <c r="H6" s="1" t="s">
        <v>37</v>
      </c>
      <c r="I6" s="1" t="s">
        <v>38</v>
      </c>
      <c r="J6" s="1" t="s">
        <v>17</v>
      </c>
    </row>
    <row r="7" spans="1:10" ht="15" thickBot="1" x14ac:dyDescent="0.35">
      <c r="A7" s="1">
        <v>1006</v>
      </c>
      <c r="B7" s="2">
        <v>45672</v>
      </c>
      <c r="C7" s="1" t="s">
        <v>10</v>
      </c>
      <c r="D7" s="1" t="s">
        <v>11</v>
      </c>
      <c r="E7" s="1" t="s">
        <v>20</v>
      </c>
      <c r="F7" s="1" t="s">
        <v>21</v>
      </c>
      <c r="G7" s="1" t="s">
        <v>22</v>
      </c>
      <c r="H7" s="1" t="s">
        <v>39</v>
      </c>
      <c r="I7" s="1" t="s">
        <v>24</v>
      </c>
      <c r="J7" s="1" t="s">
        <v>17</v>
      </c>
    </row>
    <row r="8" spans="1:10" ht="15" thickBot="1" x14ac:dyDescent="0.35">
      <c r="A8" s="1">
        <v>1007</v>
      </c>
      <c r="B8" s="2">
        <v>45675</v>
      </c>
      <c r="C8" s="1" t="s">
        <v>40</v>
      </c>
      <c r="D8" s="1" t="s">
        <v>41</v>
      </c>
      <c r="E8" s="1" t="s">
        <v>12</v>
      </c>
      <c r="F8" s="1" t="s">
        <v>13</v>
      </c>
      <c r="G8" s="1" t="s">
        <v>28</v>
      </c>
      <c r="H8" s="1" t="s">
        <v>42</v>
      </c>
      <c r="I8" s="1" t="s">
        <v>16</v>
      </c>
      <c r="J8" s="1" t="s">
        <v>25</v>
      </c>
    </row>
    <row r="9" spans="1:10" ht="15" thickBot="1" x14ac:dyDescent="0.35">
      <c r="A9" s="1">
        <v>1008</v>
      </c>
      <c r="B9" s="2">
        <v>45677</v>
      </c>
      <c r="C9" s="1" t="s">
        <v>43</v>
      </c>
      <c r="D9" s="1" t="s">
        <v>19</v>
      </c>
      <c r="E9" s="1" t="s">
        <v>20</v>
      </c>
      <c r="F9" s="1" t="s">
        <v>21</v>
      </c>
      <c r="G9" s="1" t="s">
        <v>14</v>
      </c>
      <c r="H9" s="1" t="s">
        <v>44</v>
      </c>
      <c r="I9" s="1" t="s">
        <v>30</v>
      </c>
      <c r="J9" s="1" t="s">
        <v>17</v>
      </c>
    </row>
    <row r="10" spans="1:10" ht="15" thickBot="1" x14ac:dyDescent="0.35">
      <c r="A10" s="1">
        <v>1009</v>
      </c>
      <c r="B10" s="2">
        <v>45680</v>
      </c>
      <c r="C10" s="1" t="s">
        <v>18</v>
      </c>
      <c r="D10" s="1" t="s">
        <v>27</v>
      </c>
      <c r="E10" s="1" t="s">
        <v>12</v>
      </c>
      <c r="F10" s="1" t="s">
        <v>13</v>
      </c>
      <c r="G10" s="1" t="s">
        <v>14</v>
      </c>
      <c r="H10" s="1" t="s">
        <v>45</v>
      </c>
      <c r="I10" s="1" t="s">
        <v>38</v>
      </c>
      <c r="J10" s="1" t="s">
        <v>17</v>
      </c>
    </row>
    <row r="11" spans="1:10" x14ac:dyDescent="0.3">
      <c r="A11" s="1">
        <v>1010</v>
      </c>
      <c r="B11" s="2">
        <v>45682</v>
      </c>
      <c r="C11" s="1" t="s">
        <v>26</v>
      </c>
      <c r="D11" s="1" t="s">
        <v>32</v>
      </c>
      <c r="E11" s="1" t="s">
        <v>20</v>
      </c>
      <c r="F11" s="1" t="s">
        <v>21</v>
      </c>
      <c r="G11" s="1" t="s">
        <v>22</v>
      </c>
      <c r="H11" s="1" t="s">
        <v>46</v>
      </c>
      <c r="I11" s="1" t="s">
        <v>24</v>
      </c>
      <c r="J11" s="1" t="s">
        <v>17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Sheet4</vt:lpstr>
      <vt:lpstr>Dashboard</vt:lpstr>
      <vt:lpstr>Insights</vt:lpstr>
      <vt:lpstr>Sheet5</vt:lpstr>
      <vt:lpstr>Sheet6</vt:lpstr>
      <vt:lpstr>Sheet9</vt:lpstr>
      <vt:lpstr>Sheet10</vt:lpstr>
      <vt:lpstr>Sheet11</vt:lpstr>
      <vt:lpstr>Sheet12</vt:lpstr>
      <vt:lpstr>Sheet13</vt:lpstr>
      <vt:lpstr>Sheet14</vt:lpstr>
      <vt:lpstr>Sheet15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Chepchumba Matelong</dc:creator>
  <cp:lastModifiedBy>Chepchumba Matelong</cp:lastModifiedBy>
  <dcterms:created xsi:type="dcterms:W3CDTF">2026-10-18T18:36:28Z</dcterms:created>
  <dcterms:modified xsi:type="dcterms:W3CDTF">2026-10-18T19:40:37Z</dcterms:modified>
</cp:coreProperties>
</file>